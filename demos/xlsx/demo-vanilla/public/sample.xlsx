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evelopment\xlsx-viewer\demos\demo-vanilla\public\"/>
    </mc:Choice>
  </mc:AlternateContent>
  <xr:revisionPtr revIDLastSave="0" documentId="8_{FA4D98FC-ABF7-4306-A4AF-971D7BFD33DE}" xr6:coauthVersionLast="47" xr6:coauthVersionMax="47" xr10:uidLastSave="{00000000-0000-0000-0000-000000000000}"/>
  <bookViews>
    <workbookView xWindow="1900" yWindow="1900" windowWidth="28800" windowHeight="15370" xr2:uid="{00000000-000D-0000-FFFF-FFFF00000000}"/>
  </bookViews>
  <sheets>
    <sheet name="Sales" sheetId="1" r:id="rId1"/>
    <sheet name="Budget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B15" i="3"/>
  <c r="B13" i="3"/>
  <c r="B8" i="3"/>
  <c r="D8" i="3" s="1"/>
  <c r="D12" i="2"/>
  <c r="B5" i="3" s="1"/>
  <c r="D5" i="3" s="1"/>
  <c r="C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B13" i="1"/>
  <c r="M9" i="1"/>
  <c r="B23" i="3" s="1"/>
  <c r="L9" i="1"/>
  <c r="B22" i="3" s="1"/>
  <c r="K9" i="1"/>
  <c r="B21" i="3" s="1"/>
  <c r="J9" i="1"/>
  <c r="B20" i="3" s="1"/>
  <c r="I9" i="1"/>
  <c r="B19" i="3" s="1"/>
  <c r="H9" i="1"/>
  <c r="B18" i="3" s="1"/>
  <c r="G9" i="1"/>
  <c r="F9" i="1"/>
  <c r="B16" i="3" s="1"/>
  <c r="E9" i="1"/>
  <c r="D9" i="1"/>
  <c r="B14" i="3" s="1"/>
  <c r="C9" i="1"/>
  <c r="B9" i="1"/>
  <c r="B12" i="3" s="1"/>
  <c r="O8" i="1"/>
  <c r="N8" i="1"/>
  <c r="O7" i="1"/>
  <c r="N7" i="1"/>
  <c r="O6" i="1"/>
  <c r="N6" i="1"/>
  <c r="N9" i="1" s="1"/>
  <c r="B4" i="3" s="1"/>
  <c r="O5" i="1"/>
  <c r="N5" i="1"/>
  <c r="O4" i="1"/>
  <c r="N4" i="1"/>
  <c r="E12" i="2" l="1"/>
  <c r="B6" i="3"/>
  <c r="D6" i="3" s="1"/>
  <c r="D4" i="3"/>
  <c r="B11" i="1"/>
  <c r="B12" i="1"/>
  <c r="D13" i="2"/>
  <c r="B7" i="3" s="1"/>
  <c r="D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Finance</author>
  </authors>
  <commentList>
    <comment ref="B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Margin before tax; excludes one-off costs.</t>
        </r>
      </text>
    </comment>
  </commentList>
</comments>
</file>

<file path=xl/sharedStrings.xml><?xml version="1.0" encoding="utf-8"?>
<sst xmlns="http://schemas.openxmlformats.org/spreadsheetml/2006/main" count="75" uniqueCount="58">
  <si>
    <t>Regional Sales 2026</t>
  </si>
  <si>
    <t>Monthly revenue by region (USD). Totals and growth are formulas.</t>
  </si>
  <si>
    <t>Region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</si>
  <si>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</si>
  <si>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</si>
  <si>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</si>
  <si>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</si>
  <si>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</si>
  <si>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</si>
  <si>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</si>
  <si>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</si>
  <si>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</si>
  <si>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</si>
  <si>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</si>
  <si>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</si>
  <si>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</si>
  <si>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Growth</t>
  </si>
  <si>
    <t>North</t>
  </si>
  <si>
    <t>South</t>
  </si>
  <si>
    <t>East</t>
  </si>
  <si>
    <t>West</t>
  </si>
  <si>
    <t>Central</t>
  </si>
  <si>
    <t>Best month</t>
  </si>
  <si>
    <t>Average month</t>
  </si>
  <si>
    <t>Report date</t>
  </si>
  <si>
    <t>Operating Budget FY2026</t>
  </si>
  <si>
    <t>Category</t>
  </si>
  <si>
    <t>Owner</t>
  </si>
  <si>
    <t>Budget</t>
  </si>
  <si>
    <t>Actual</t>
  </si>
  <si>
    <t>Variance</t>
  </si>
  <si>
    <t>Status</t>
  </si>
  <si>
    <t>Salaries</t>
  </si>
  <si>
    <t>People</t>
  </si>
  <si>
    <t>Marketing</t>
  </si>
  <si>
    <t>Cloud hosting</t>
  </si>
  <si>
    <t>Engineering</t>
  </si>
  <si>
    <t>Office and facilities</t>
  </si>
  <si>
    <t>Operations</t>
  </si>
  <si>
    <t>Travel</t>
  </si>
  <si>
    <t>Sales</t>
  </si>
  <si>
    <t>Training</t>
  </si>
  <si>
    <t>Software licences</t>
  </si>
  <si>
    <t>Contingency</t>
  </si>
  <si>
    <t>Finance</t>
  </si>
  <si>
    <t>Spent</t>
  </si>
  <si>
    <t>Summary</t>
  </si>
  <si>
    <t>Metric</t>
  </si>
  <si>
    <t>Value</t>
  </si>
  <si>
    <t>Target</t>
  </si>
  <si>
    <t>Met</t>
  </si>
  <si>
    <t>Annual revenue</t>
  </si>
  <si>
    <t>Operating cost</t>
  </si>
  <si>
    <t>Operating margin</t>
  </si>
  <si>
    <t>Budget spent</t>
  </si>
  <si>
    <t>Regions over 500k</t>
  </si>
  <si>
    <t>Month</t>
  </si>
  <si>
    <t>All 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</si>
</sst>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;[Red]\-&quot;$&quot;#,##0"/>
    <numFmt numFmtId="165" formatCode="0.0%"/>
    <numFmt numFmtId="166" formatCode="d\-mmm\-yyyy"/>
  </numFmts>
  <fonts count="5" x14ac:knownFonts="1">
    <font>
      <sz val="11"/>
      <color theme="1"/>
      <name val="Calibri"/>
      <family val="2"/>
      <scheme val="minor"/>
    </font>
    <font>
      <b/>
      <sz val="18"/>
      <color rgb="FF0E5A38"/>
      <name val="Calibri Light"/>
    </font>
    <font>
      <i/>
      <sz val="11"/>
      <color rgb="FF5B6B63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9D63"/>
      </patternFill>
    </fill>
    <fill>
      <patternFill patternType="solid">
        <fgColor rgb="FFE8F5EE"/>
      </patternFill>
    </fill>
  </fills>
  <borders count="3">
    <border>
      <left/>
      <right/>
      <top/>
      <bottom/>
      <diagonal/>
    </border>
    <border>
      <left style="thin">
        <color rgb="FFB7C9BF"/>
      </left>
      <right style="thin">
        <color rgb="FFB7C9BF"/>
      </right>
      <top style="thin">
        <color rgb="FFB7C9BF"/>
      </top>
      <bottom style="thin">
        <color rgb="FFB7C9BF"/>
      </bottom>
      <diagonal/>
    </border>
    <border>
      <left/>
      <right/>
      <top style="thin">
        <color rgb="FF0E5A38"/>
      </top>
      <bottom style="double">
        <color rgb="FF0E5A3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164" fontId="4" fillId="0" borderId="1" xfId="0" applyNumberFormat="1" applyFont="1" applyBorder="1"/>
    <xf numFmtId="165" fontId="0" fillId="0" borderId="1" xfId="0" applyNumberFormat="1" applyBorder="1"/>
    <xf numFmtId="164" fontId="0" fillId="3" borderId="1" xfId="0" applyNumberFormat="1" applyFill="1" applyBorder="1"/>
    <xf numFmtId="0" fontId="4" fillId="0" borderId="0" xfId="0" applyFont="1"/>
    <xf numFmtId="164" fontId="4" fillId="0" borderId="2" xfId="0" applyNumberFormat="1" applyFont="1" applyBorder="1"/>
    <xf numFmtId="164" fontId="0" fillId="0" borderId="0" xfId="0" applyNumberFormat="1"/>
    <xf numFmtId="166" fontId="0" fillId="0" borderId="0" xfId="0" applyNumberFormat="1"/>
    <xf numFmtId="164" fontId="4" fillId="0" borderId="0" xfId="0" applyNumberFormat="1" applyFont="1"/>
    <xf numFmtId="165" fontId="0" fillId="0" borderId="0" xfId="0" applyNumberFormat="1"/>
    <xf numFmtId="0" fontId="0" fillId="0" borderId="1" xfId="0" applyBorder="1" applyAlignment="1">
      <alignment horizontal="center"/>
    </xf>
    <xf numFmtId="1" fontId="0" fillId="0" borderId="1" xfId="0" applyNumberFormat="1" applyBorder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Sales!$N$3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Sales!$A$4:$A$8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Sales!$N$4:$N$8</c:f>
              <c:numCache>
                <c:formatCode>"$"#,##0;[Red]\-"$"#,##0</c:formatCode>
                <c:ptCount val="5"/>
                <c:pt idx="0">
                  <c:v>624640</c:v>
                </c:pt>
                <c:pt idx="1">
                  <c:v>459700</c:v>
                </c:pt>
                <c:pt idx="2">
                  <c:v>408220</c:v>
                </c:pt>
                <c:pt idx="3">
                  <c:v>526710</c:v>
                </c:pt>
                <c:pt idx="4">
                  <c:v>289920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A1-45DF-A1B1-C00C8232B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overlay val="1"/>
        </c:title>
        <c:numFmt formatCode="&quot;$&quot;#,##0;[Red]\-&quot;$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revenue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Summary!$B$11</c:f>
              <c:strCache>
                <c:ptCount val="1"/>
                <c:pt idx="0">
                  <c:v>All regions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Summary!$A$12:$A$23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Summary!$B$12:$B$23</c:f>
              <c:numCache>
                <c:formatCode>"$"#,##0;[Red]\-"$"#,##0</c:formatCode>
                <c:ptCount val="12"/>
                <c:pt idx="0">
                  <c:v>156500</c:v>
                </c:pt>
                <c:pt idx="1">
                  <c:v>153400</c:v>
                </c:pt>
                <c:pt idx="2">
                  <c:v>167450</c:v>
                </c:pt>
                <c:pt idx="3">
                  <c:v>175370</c:v>
                </c:pt>
                <c:pt idx="4">
                  <c:v>183640</c:v>
                </c:pt>
                <c:pt idx="5">
                  <c:v>191340</c:v>
                </c:pt>
                <c:pt idx="6">
                  <c:v>189130</c:v>
                </c:pt>
                <c:pt idx="7">
                  <c:v>197620</c:v>
                </c:pt>
                <c:pt idx="8">
                  <c:v>205550</c:v>
                </c:pt>
                <c:pt idx="9">
                  <c:v>214740</c:v>
                </c:pt>
                <c:pt idx="10">
                  <c:v>224850</c:v>
                </c:pt>
                <c:pt idx="11">
                  <c:v>249600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A51-4E0A-8F66-A10354361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&quot;$&quot;#,##0;[Red]\-&quot;$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576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9D63"/>
  </sheetPr>
  <dimension ref="A1:O13"/>
  <sheetViews>
    <sheetView tabSelected="1" workbookViewId="0">
      <pane xSplit="1" ySplit="3" topLeftCell="B4" activePane="bottomRight" state="frozen"/>
      <selection pane="topRight"/>
      <selection pane="bottomLeft"/>
      <selection pane="bottomRight" sqref="A1:O1"/>
    </sheetView>
  </sheetViews>
  <sheetFormatPr defaultRowHeight="14.5" x14ac:dyDescent="0.35"/>
  <cols>
    <col min="1" max="1" width="14" customWidth="1"/>
    <col min="2" max="13" width="10.453125" customWidth="1"/>
    <col min="14" max="14" width="13" customWidth="1"/>
    <col min="15" max="15" width="9" customWidth="1"/>
  </cols>
  <sheetData>
    <row r="1" spans="1:15" ht="30" customHeight="1" x14ac:dyDescent="0.3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x14ac:dyDescent="0.35">
      <c r="A2" s="1" t="s">
        <v>1</v>
      </c>
    </row>
    <row r="3" spans="1:15" x14ac:dyDescent="0.3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</row>
    <row r="4" spans="1:15" x14ac:dyDescent="0.35">
      <c r="A4" s="3" t="s">
        <v>17</v>
      </c>
      <c r="B4" s="4">
        <v>42100</v>
      </c>
      <c r="C4" s="4">
        <v>39800</v>
      </c>
      <c r="D4" s="4">
        <v>45250</v>
      </c>
      <c r="E4" s="4">
        <v>47100</v>
      </c>
      <c r="F4" s="4">
        <v>51230</v>
      </c>
      <c r="G4" s="4">
        <v>53900</v>
      </c>
      <c r="H4" s="4">
        <v>50110</v>
      </c>
      <c r="I4" s="4">
        <v>52480</v>
      </c>
      <c r="J4" s="4">
        <v>55120</v>
      </c>
      <c r="K4" s="4">
        <v>57900</v>
      </c>
      <c r="L4" s="4">
        <v>61200</v>
      </c>
      <c r="M4" s="4">
        <v>68450</v>
      </c>
      <c r="N4" s="5">
        <f>SUM(B4:M4)</f>
        <v>624640</v>
      </c>
      <c r="O4" s="6">
        <f>IF(B4=0,0,M4/B4-1)</f>
        <v>0.62589073634204273</v>
      </c>
    </row>
    <row r="5" spans="1:15" x14ac:dyDescent="0.35">
      <c r="A5" s="3" t="s">
        <v>18</v>
      </c>
      <c r="B5" s="7">
        <v>31200</v>
      </c>
      <c r="C5" s="7">
        <v>30150</v>
      </c>
      <c r="D5" s="7">
        <v>33900</v>
      </c>
      <c r="E5" s="7">
        <v>35020</v>
      </c>
      <c r="F5" s="7">
        <v>36880</v>
      </c>
      <c r="G5" s="7">
        <v>38110</v>
      </c>
      <c r="H5" s="7">
        <v>37450</v>
      </c>
      <c r="I5" s="7">
        <v>39200</v>
      </c>
      <c r="J5" s="7">
        <v>40310</v>
      </c>
      <c r="K5" s="7">
        <v>42780</v>
      </c>
      <c r="L5" s="7">
        <v>44900</v>
      </c>
      <c r="M5" s="7">
        <v>49800</v>
      </c>
      <c r="N5" s="5">
        <f>SUM(B5:M5)</f>
        <v>459700</v>
      </c>
      <c r="O5" s="6">
        <f>IF(B5=0,0,M5/B5-1)</f>
        <v>0.59615384615384626</v>
      </c>
    </row>
    <row r="6" spans="1:15" x14ac:dyDescent="0.35">
      <c r="A6" s="3" t="s">
        <v>19</v>
      </c>
      <c r="B6" s="4">
        <v>27800</v>
      </c>
      <c r="C6" s="4">
        <v>28900</v>
      </c>
      <c r="D6" s="4">
        <v>29450</v>
      </c>
      <c r="E6" s="4">
        <v>31200</v>
      </c>
      <c r="F6" s="4">
        <v>30980</v>
      </c>
      <c r="G6" s="4">
        <v>33450</v>
      </c>
      <c r="H6" s="4">
        <v>34120</v>
      </c>
      <c r="I6" s="4">
        <v>35800</v>
      </c>
      <c r="J6" s="4">
        <v>36020</v>
      </c>
      <c r="K6" s="4">
        <v>37950</v>
      </c>
      <c r="L6" s="4">
        <v>39400</v>
      </c>
      <c r="M6" s="4">
        <v>43150</v>
      </c>
      <c r="N6" s="5">
        <f>SUM(B6:M6)</f>
        <v>408220</v>
      </c>
      <c r="O6" s="6">
        <f>IF(B6=0,0,M6/B6-1)</f>
        <v>0.55215827338129486</v>
      </c>
    </row>
    <row r="7" spans="1:15" x14ac:dyDescent="0.35">
      <c r="A7" s="3" t="s">
        <v>20</v>
      </c>
      <c r="B7" s="7">
        <v>36500</v>
      </c>
      <c r="C7" s="7">
        <v>35100</v>
      </c>
      <c r="D7" s="7">
        <v>38750</v>
      </c>
      <c r="E7" s="7">
        <v>40200</v>
      </c>
      <c r="F7" s="7">
        <v>42150</v>
      </c>
      <c r="G7" s="7">
        <v>41980</v>
      </c>
      <c r="H7" s="7">
        <v>43300</v>
      </c>
      <c r="I7" s="7">
        <v>45120</v>
      </c>
      <c r="J7" s="7">
        <v>47800</v>
      </c>
      <c r="K7" s="7">
        <v>49010</v>
      </c>
      <c r="L7" s="7">
        <v>50500</v>
      </c>
      <c r="M7" s="7">
        <v>56300</v>
      </c>
      <c r="N7" s="5">
        <f>SUM(B7:M7)</f>
        <v>526710</v>
      </c>
      <c r="O7" s="6">
        <f>IF(B7=0,0,M7/B7-1)</f>
        <v>0.54246575342465753</v>
      </c>
    </row>
    <row r="8" spans="1:15" x14ac:dyDescent="0.35">
      <c r="A8" s="3" t="s">
        <v>21</v>
      </c>
      <c r="B8" s="4">
        <v>18900</v>
      </c>
      <c r="C8" s="4">
        <v>19450</v>
      </c>
      <c r="D8" s="4">
        <v>20100</v>
      </c>
      <c r="E8" s="4">
        <v>21850</v>
      </c>
      <c r="F8" s="4">
        <v>22400</v>
      </c>
      <c r="G8" s="4">
        <v>23900</v>
      </c>
      <c r="H8" s="4">
        <v>24150</v>
      </c>
      <c r="I8" s="4">
        <v>25020</v>
      </c>
      <c r="J8" s="4">
        <v>26300</v>
      </c>
      <c r="K8" s="4">
        <v>27100</v>
      </c>
      <c r="L8" s="4">
        <v>28850</v>
      </c>
      <c r="M8" s="4">
        <v>31900</v>
      </c>
      <c r="N8" s="5">
        <f>SUM(B8:M8)</f>
        <v>289920</v>
      </c>
      <c r="O8" s="6">
        <f>IF(B8=0,0,M8/B8-1)</f>
        <v>0.6878306878306879</v>
      </c>
    </row>
    <row r="9" spans="1:15" x14ac:dyDescent="0.35">
      <c r="A9" s="8" t="s">
        <v>15</v>
      </c>
      <c r="B9" s="9">
        <f t="shared" ref="B9:N9" si="0">SUM(B4:B8)</f>
        <v>156500</v>
      </c>
      <c r="C9" s="9">
        <f t="shared" si="0"/>
        <v>153400</v>
      </c>
      <c r="D9" s="9">
        <f t="shared" si="0"/>
        <v>167450</v>
      </c>
      <c r="E9" s="9">
        <f t="shared" si="0"/>
        <v>175370</v>
      </c>
      <c r="F9" s="9">
        <f t="shared" si="0"/>
        <v>183640</v>
      </c>
      <c r="G9" s="9">
        <f t="shared" si="0"/>
        <v>191340</v>
      </c>
      <c r="H9" s="9">
        <f t="shared" si="0"/>
        <v>189130</v>
      </c>
      <c r="I9" s="9">
        <f t="shared" si="0"/>
        <v>197620</v>
      </c>
      <c r="J9" s="9">
        <f t="shared" si="0"/>
        <v>205550</v>
      </c>
      <c r="K9" s="9">
        <f t="shared" si="0"/>
        <v>214740</v>
      </c>
      <c r="L9" s="9">
        <f t="shared" si="0"/>
        <v>224850</v>
      </c>
      <c r="M9" s="9">
        <f t="shared" si="0"/>
        <v>249600</v>
      </c>
      <c r="N9" s="9">
        <f t="shared" si="0"/>
        <v>2309190</v>
      </c>
    </row>
    <row r="11" spans="1:15" x14ac:dyDescent="0.35">
      <c r="A11" t="s">
        <v>22</v>
      </c>
      <c r="B11" t="str">
        <f>INDEX(B3:M3,MATCH(MAX(B9:M9),B9:M9,0))</f>
        <v>Dec</v>
      </c>
    </row>
    <row r="12" spans="1:15" x14ac:dyDescent="0.35">
      <c r="A12" t="s">
        <v>23</v>
      </c>
      <c r="B12" s="10">
        <f>AVERAGE(B9:M9)</f>
        <v>192432.5</v>
      </c>
    </row>
    <row r="13" spans="1:15" x14ac:dyDescent="0.35">
      <c r="A13" t="s">
        <v>24</v>
      </c>
      <c r="B13" s="11">
        <f>DATE(2026,12,31)</f>
        <v>46387</v>
      </c>
    </row>
  </sheetData>
  <mergeCells count="1">
    <mergeCell ref="A1:O1"/>
  </mergeCells>
  <conditionalFormatting sqref="B4:M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N8">
    <cfRule type="dataBar" priority="2">
      <dataBar>
        <cfvo type="min"/>
        <cfvo type="max"/>
        <color rgb="FF1F9D63"/>
      </dataBar>
    </cfRule>
  </conditionalFormatting>
  <conditionalFormatting sqref="O4:O8">
    <cfRule type="cellIs" dxfId="1" priority="3" operator="greaterThan">
      <formula>0.5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75B5"/>
  </sheetPr>
  <dimension ref="A1:F1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4" customWidth="1"/>
    <col min="2" max="2" width="14" customWidth="1"/>
    <col min="3" max="5" width="13" customWidth="1"/>
    <col min="6" max="6" width="11" customWidth="1"/>
  </cols>
  <sheetData>
    <row r="1" spans="1:6" ht="30" customHeight="1" x14ac:dyDescent="0.35">
      <c r="A1" s="16" t="s">
        <v>25</v>
      </c>
      <c r="B1" s="17"/>
      <c r="C1" s="17"/>
      <c r="D1" s="17"/>
      <c r="E1" s="17"/>
      <c r="F1" s="17"/>
    </row>
    <row r="3" spans="1:6" x14ac:dyDescent="0.3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</row>
    <row r="4" spans="1:6" x14ac:dyDescent="0.35">
      <c r="A4" s="3" t="s">
        <v>32</v>
      </c>
      <c r="B4" s="3" t="s">
        <v>33</v>
      </c>
      <c r="C4" s="4">
        <v>840000</v>
      </c>
      <c r="D4" s="4">
        <v>826500</v>
      </c>
      <c r="E4" s="4">
        <f t="shared" ref="E4:E11" si="0">C4-D4</f>
        <v>13500</v>
      </c>
      <c r="F4" s="3" t="str">
        <f t="shared" ref="F4:F11" si="1">IF(D4&gt;C4,"Over","On track")</f>
        <v>On track</v>
      </c>
    </row>
    <row r="5" spans="1:6" x14ac:dyDescent="0.35">
      <c r="A5" s="3" t="s">
        <v>34</v>
      </c>
      <c r="B5" s="3" t="s">
        <v>16</v>
      </c>
      <c r="C5" s="4">
        <v>145000</v>
      </c>
      <c r="D5" s="4">
        <v>162300</v>
      </c>
      <c r="E5" s="4">
        <f t="shared" si="0"/>
        <v>-17300</v>
      </c>
      <c r="F5" s="3" t="str">
        <f t="shared" si="1"/>
        <v>Over</v>
      </c>
    </row>
    <row r="6" spans="1:6" x14ac:dyDescent="0.35">
      <c r="A6" s="3" t="s">
        <v>35</v>
      </c>
      <c r="B6" s="3" t="s">
        <v>36</v>
      </c>
      <c r="C6" s="4">
        <v>96000</v>
      </c>
      <c r="D6" s="4">
        <v>88750</v>
      </c>
      <c r="E6" s="4">
        <f t="shared" si="0"/>
        <v>7250</v>
      </c>
      <c r="F6" s="3" t="str">
        <f t="shared" si="1"/>
        <v>On track</v>
      </c>
    </row>
    <row r="7" spans="1:6" x14ac:dyDescent="0.35">
      <c r="A7" s="3" t="s">
        <v>37</v>
      </c>
      <c r="B7" s="3" t="s">
        <v>38</v>
      </c>
      <c r="C7" s="4">
        <v>72000</v>
      </c>
      <c r="D7" s="4">
        <v>74100</v>
      </c>
      <c r="E7" s="4">
        <f t="shared" si="0"/>
        <v>-2100</v>
      </c>
      <c r="F7" s="3" t="str">
        <f t="shared" si="1"/>
        <v>Over</v>
      </c>
    </row>
    <row r="8" spans="1:6" x14ac:dyDescent="0.35">
      <c r="A8" s="3" t="s">
        <v>39</v>
      </c>
      <c r="B8" s="3" t="s">
        <v>40</v>
      </c>
      <c r="C8" s="4">
        <v>38000</v>
      </c>
      <c r="D8" s="4">
        <v>29400</v>
      </c>
      <c r="E8" s="4">
        <f t="shared" si="0"/>
        <v>8600</v>
      </c>
      <c r="F8" s="3" t="str">
        <f t="shared" si="1"/>
        <v>On track</v>
      </c>
    </row>
    <row r="9" spans="1:6" x14ac:dyDescent="0.35">
      <c r="A9" s="3" t="s">
        <v>41</v>
      </c>
      <c r="B9" s="3" t="s">
        <v>33</v>
      </c>
      <c r="C9" s="4">
        <v>24000</v>
      </c>
      <c r="D9" s="4">
        <v>19850</v>
      </c>
      <c r="E9" s="4">
        <f t="shared" si="0"/>
        <v>4150</v>
      </c>
      <c r="F9" s="3" t="str">
        <f t="shared" si="1"/>
        <v>On track</v>
      </c>
    </row>
    <row r="10" spans="1:6" x14ac:dyDescent="0.35">
      <c r="A10" s="3" t="s">
        <v>42</v>
      </c>
      <c r="B10" s="3" t="s">
        <v>36</v>
      </c>
      <c r="C10" s="4">
        <v>51000</v>
      </c>
      <c r="D10" s="4">
        <v>53600</v>
      </c>
      <c r="E10" s="4">
        <f t="shared" si="0"/>
        <v>-2600</v>
      </c>
      <c r="F10" s="3" t="str">
        <f t="shared" si="1"/>
        <v>Over</v>
      </c>
    </row>
    <row r="11" spans="1:6" x14ac:dyDescent="0.35">
      <c r="A11" s="3" t="s">
        <v>43</v>
      </c>
      <c r="B11" s="3" t="s">
        <v>44</v>
      </c>
      <c r="C11" s="4">
        <v>30000</v>
      </c>
      <c r="D11" s="4">
        <v>0</v>
      </c>
      <c r="E11" s="4">
        <f t="shared" si="0"/>
        <v>30000</v>
      </c>
      <c r="F11" s="3" t="str">
        <f t="shared" si="1"/>
        <v>On track</v>
      </c>
    </row>
    <row r="12" spans="1:6" x14ac:dyDescent="0.35">
      <c r="A12" s="8" t="s">
        <v>15</v>
      </c>
      <c r="C12" s="12">
        <f>SUM(C4:C11)</f>
        <v>1296000</v>
      </c>
      <c r="D12" s="12">
        <f>SUM(D4:D11)</f>
        <v>1254500</v>
      </c>
      <c r="E12" s="12">
        <f>SUM(E4:E11)</f>
        <v>41500</v>
      </c>
    </row>
    <row r="13" spans="1:6" x14ac:dyDescent="0.35">
      <c r="A13" t="s">
        <v>45</v>
      </c>
      <c r="D13" s="13">
        <f>D12/C12</f>
        <v>0.96797839506172845</v>
      </c>
    </row>
  </sheetData>
  <mergeCells count="1">
    <mergeCell ref="A1:F1"/>
  </mergeCells>
  <conditionalFormatting sqref="E4:E11">
    <cfRule type="cellIs" dxfId="0" priority="1" operator="lessThan">
      <formula>0</formula>
    </cfRule>
  </conditionalFormatting>
  <dataValidations count="1">
    <dataValidation type="list" errorTitle="Unknown owner" error="Pick an owner from the list." promptTitle="Owner" prompt="Choose the budget owner" sqref="B4:B11" xr:uid="{00000000-0002-0000-0100-000000000000}">
      <formula1>"People,Growth,Engineering,Operations,Sales,Finance"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55A11"/>
  </sheetPr>
  <dimension ref="A1:D23"/>
  <sheetViews>
    <sheetView workbookViewId="0"/>
  </sheetViews>
  <sheetFormatPr defaultRowHeight="14.5" x14ac:dyDescent="0.35"/>
  <cols>
    <col min="1" max="1" width="22" customWidth="1"/>
    <col min="2" max="2" width="15" customWidth="1"/>
    <col min="3" max="3" width="13" customWidth="1"/>
    <col min="4" max="4" width="8" customWidth="1"/>
  </cols>
  <sheetData>
    <row r="1" spans="1:4" ht="30" customHeight="1" x14ac:dyDescent="0.35">
      <c r="A1" s="16" t="s">
        <v>46</v>
      </c>
      <c r="B1" s="17"/>
      <c r="C1" s="17"/>
      <c r="D1" s="17"/>
    </row>
    <row r="3" spans="1:4" x14ac:dyDescent="0.35">
      <c r="A3" s="2" t="s">
        <v>47</v>
      </c>
      <c r="B3" s="2" t="s">
        <v>48</v>
      </c>
      <c r="C3" s="2" t="s">
        <v>49</v>
      </c>
      <c r="D3" s="2" t="s">
        <v>50</v>
      </c>
    </row>
    <row r="4" spans="1:4" x14ac:dyDescent="0.35">
      <c r="A4" s="3" t="s">
        <v>51</v>
      </c>
      <c r="B4" s="4">
        <f>Sales!N9</f>
        <v>2309190</v>
      </c>
      <c r="C4" s="4">
        <v>2400000</v>
      </c>
      <c r="D4" s="14" t="str">
        <f>IF(B4&gt;=C4,"Yes","No")</f>
        <v>No</v>
      </c>
    </row>
    <row r="5" spans="1:4" x14ac:dyDescent="0.35">
      <c r="A5" s="3" t="s">
        <v>52</v>
      </c>
      <c r="B5" s="4">
        <f>Budget!D12</f>
        <v>1254500</v>
      </c>
      <c r="C5" s="4">
        <v>1300000</v>
      </c>
      <c r="D5" s="14" t="str">
        <f>IF(B5&gt;=C5,"Yes","No")</f>
        <v>No</v>
      </c>
    </row>
    <row r="6" spans="1:4" x14ac:dyDescent="0.35">
      <c r="A6" s="3" t="s">
        <v>53</v>
      </c>
      <c r="B6" s="6">
        <f>(B4-B5)/B4</f>
        <v>0.45673591172662276</v>
      </c>
      <c r="C6" s="6">
        <v>0.4</v>
      </c>
      <c r="D6" s="14" t="str">
        <f>IF(B6&gt;=C6,"Yes","No")</f>
        <v>Yes</v>
      </c>
    </row>
    <row r="7" spans="1:4" x14ac:dyDescent="0.35">
      <c r="A7" s="3" t="s">
        <v>54</v>
      </c>
      <c r="B7" s="6">
        <f>Budget!D13</f>
        <v>0.96797839506172845</v>
      </c>
      <c r="C7" s="6">
        <v>0.95</v>
      </c>
      <c r="D7" s="14" t="str">
        <f>IF(B7&gt;=C7,"Yes","No")</f>
        <v>Yes</v>
      </c>
    </row>
    <row r="8" spans="1:4" x14ac:dyDescent="0.35">
      <c r="A8" s="3" t="s">
        <v>55</v>
      </c>
      <c r="B8" s="15">
        <f>COUNTIF(Sales!N4:N8,"&gt;500000")</f>
        <v>2</v>
      </c>
      <c r="C8" s="15">
        <v>3</v>
      </c>
      <c r="D8" s="14" t="str">
        <f>IF(B8&gt;=C8,"Yes","No")</f>
        <v>No</v>
      </c>
    </row>
    <row r="11" spans="1:4" x14ac:dyDescent="0.35">
      <c r="A11" t="s">
        <v>56</v>
      </c>
      <c r="B11" t="s">
        <v>57</v>
      </c>
    </row>
    <row r="12" spans="1:4" x14ac:dyDescent="0.35">
      <c r="A12" t="s">
        <v>3</v>
      </c>
      <c r="B12" s="10">
        <f>Sales!B9</f>
        <v>156500</v>
      </c>
    </row>
    <row r="13" spans="1:4" x14ac:dyDescent="0.35">
      <c r="A13" t="s">
        <v>4</v>
      </c>
      <c r="B13" s="10">
        <f>Sales!C9</f>
        <v>153400</v>
      </c>
    </row>
    <row r="14" spans="1:4" x14ac:dyDescent="0.35">
      <c r="A14" t="s">
        <v>5</v>
      </c>
      <c r="B14" s="10">
        <f>Sales!D9</f>
        <v>167450</v>
      </c>
    </row>
    <row r="15" spans="1:4" x14ac:dyDescent="0.35">
      <c r="A15" t="s">
        <v>6</v>
      </c>
      <c r="B15" s="10">
        <f>Sales!E9</f>
        <v>175370</v>
      </c>
    </row>
    <row r="16" spans="1:4" x14ac:dyDescent="0.35">
      <c r="A16" t="s">
        <v>7</v>
      </c>
      <c r="B16" s="10">
        <f>Sales!F9</f>
        <v>183640</v>
      </c>
    </row>
    <row r="17" spans="1:2" x14ac:dyDescent="0.35">
      <c r="A17" t="s">
        <v>8</v>
      </c>
      <c r="B17" s="10">
        <f>Sales!G9</f>
        <v>191340</v>
      </c>
    </row>
    <row r="18" spans="1:2" x14ac:dyDescent="0.35">
      <c r="A18" t="s">
        <v>9</v>
      </c>
      <c r="B18" s="10">
        <f>Sales!H9</f>
        <v>189130</v>
      </c>
    </row>
    <row r="19" spans="1:2" x14ac:dyDescent="0.35">
      <c r="A19" t="s">
        <v>10</v>
      </c>
      <c r="B19" s="10">
        <f>Sales!I9</f>
        <v>197620</v>
      </c>
    </row>
    <row r="20" spans="1:2" x14ac:dyDescent="0.35">
      <c r="A20" t="s">
        <v>11</v>
      </c>
      <c r="B20" s="10">
        <f>Sales!J9</f>
        <v>205550</v>
      </c>
    </row>
    <row r="21" spans="1:2" x14ac:dyDescent="0.35">
      <c r="A21" t="s">
        <v>12</v>
      </c>
      <c r="B21" s="10">
        <f>Sales!K9</f>
        <v>214740</v>
      </c>
    </row>
    <row r="22" spans="1:2" x14ac:dyDescent="0.35">
      <c r="A22" t="s">
        <v>13</v>
      </c>
      <c r="B22" s="10">
        <f>Sales!L9</f>
        <v>224850</v>
      </c>
    </row>
    <row r="23" spans="1:2" x14ac:dyDescent="0.35">
      <c r="A23" t="s">
        <v>14</v>
      </c>
      <c r="B23" s="10">
        <f>Sales!M9</f>
        <v>249600</v>
      </c>
    </row>
  </sheetData>
  <mergeCells count="1">
    <mergeCell ref="A1:D1"/>
  </mergeCells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Budget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and budget sample</dc:title>
  <dc:creator>xlsx-viewer</dc:creator>
  <cp:lastModifiedBy>xlsx-viewer</cp:lastModifiedBy>
  <dcterms:created xsi:type="dcterms:W3CDTF">2026-10-02T21:34:04Z</dcterms:created>
  <dcterms:modified xsi:type="dcterms:W3CDTF">2026-10-02T21:34:16Z</dcterms:modified>
</cp:coreProperties>
</file>